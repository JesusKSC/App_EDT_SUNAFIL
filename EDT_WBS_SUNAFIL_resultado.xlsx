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T - WBS" sheetId="1" state="visible" r:id="rId3"/>
    <sheet name="Diccionario ED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Duración total = plazo contractual (731 días). No es la suma de paquetes: muchos se ejecutan en paralelo. La duración real se define en el cronograma (Gantt).</t>
        </r>
      </text>
    </comment>
  </commentList>
</comments>
</file>

<file path=xl/sharedStrings.xml><?xml version="1.0" encoding="utf-8"?>
<sst xmlns="http://schemas.openxmlformats.org/spreadsheetml/2006/main" count="230" uniqueCount="125">
  <si>
    <t xml:space="preserve">ESTRUCTURA DE DESGLOSE DE TRABAJO (EDT / WBS) — según PMBOK</t>
  </si>
  <si>
    <t xml:space="preserve">Servicio de Telefonía Móvil para la SUNAFIL · CP N° 001-2026-SUNAFIL-1 · ENTEL PERÚ S.A. · Descomposición orientada a entregables — Regla del 100%</t>
  </si>
  <si>
    <t xml:space="preserve">Cuenta de control</t>
  </si>
  <si>
    <t xml:space="preserve">Nivel</t>
  </si>
  <si>
    <t xml:space="preserve">Entregable / Paquete de trabajo</t>
  </si>
  <si>
    <t xml:space="preserve">Clasificación PMI</t>
  </si>
  <si>
    <t xml:space="preserve">N° TDR</t>
  </si>
  <si>
    <t xml:space="preserve">Responsable</t>
  </si>
  <si>
    <t xml:space="preserve">Duración (días)</t>
  </si>
  <si>
    <t xml:space="preserve">Costo estim. (S/)</t>
  </si>
  <si>
    <t xml:space="preserve">1</t>
  </si>
  <si>
    <t xml:space="preserve">PROYECTO: Servicio de Telefonía Móvil SUNAFIL</t>
  </si>
  <si>
    <t xml:space="preserve">Entregable mayor (Proyecto)</t>
  </si>
  <si>
    <t xml:space="preserve">—</t>
  </si>
  <si>
    <t xml:space="preserve">Dirección de Proyecto</t>
  </si>
  <si>
    <t xml:space="preserve">1.1</t>
  </si>
  <si>
    <t xml:space="preserve">GESTIÓN DEL PROYECTO</t>
  </si>
  <si>
    <t xml:space="preserve">Entregable (1er nivel)</t>
  </si>
  <si>
    <t xml:space="preserve">Gestor de Proyecto</t>
  </si>
  <si>
    <t xml:space="preserve">1.1.1</t>
  </si>
  <si>
    <t xml:space="preserve">   Planificación e Inicio</t>
  </si>
  <si>
    <t xml:space="preserve">Entregable (2do nivel)</t>
  </si>
  <si>
    <t xml:space="preserve">1.1.1.1</t>
  </si>
  <si>
    <t xml:space="preserve">      Plan del proyecto</t>
  </si>
  <si>
    <t xml:space="preserve">Paquete de trabajo</t>
  </si>
  <si>
    <t xml:space="preserve">III.c</t>
  </si>
  <si>
    <t xml:space="preserve">1.1.1.2</t>
  </si>
  <si>
    <t xml:space="preserve">      Acta de inicio del servicio</t>
  </si>
  <si>
    <t xml:space="preserve">XI.11.1</t>
  </si>
  <si>
    <t xml:space="preserve">1.1.1.3</t>
  </si>
  <si>
    <t xml:space="preserve">      Portabilidad numérica</t>
  </si>
  <si>
    <t xml:space="preserve">VIII.8.3.a</t>
  </si>
  <si>
    <t xml:space="preserve">Gestor de Servicio</t>
  </si>
  <si>
    <t xml:space="preserve">1.1.2</t>
  </si>
  <si>
    <t xml:space="preserve">   Ejecución y Operación</t>
  </si>
  <si>
    <t xml:space="preserve">1.1.2.1</t>
  </si>
  <si>
    <t xml:space="preserve">      Transferencia de conocimiento y capacitación</t>
  </si>
  <si>
    <t xml:space="preserve">VIII.8.3.e</t>
  </si>
  <si>
    <t xml:space="preserve">1.1.2.2</t>
  </si>
  <si>
    <t xml:space="preserve">      Entregables mensuales de servicio</t>
  </si>
  <si>
    <t xml:space="preserve">XI.11.2</t>
  </si>
  <si>
    <t xml:space="preserve">1.1.3</t>
  </si>
  <si>
    <t xml:space="preserve">   Cierre y Conformidad</t>
  </si>
  <si>
    <t xml:space="preserve">Coord. contractual (OTIC)</t>
  </si>
  <si>
    <t xml:space="preserve">1.1.3.1</t>
  </si>
  <si>
    <t xml:space="preserve">      Acta de conformidad y pagos</t>
  </si>
  <si>
    <t xml:space="preserve">XII</t>
  </si>
  <si>
    <t xml:space="preserve">1.1.3.2</t>
  </si>
  <si>
    <t xml:space="preserve">      Informe final de cierre del proyecto</t>
  </si>
  <si>
    <t xml:space="preserve">III.e</t>
  </si>
  <si>
    <t xml:space="preserve">1.2</t>
  </si>
  <si>
    <t xml:space="preserve">PRODUCTO / SERVICIO DE TELEFONÍA MÓVIL</t>
  </si>
  <si>
    <t xml:space="preserve">Líder Técnico</t>
  </si>
  <si>
    <t xml:space="preserve">1.2.1</t>
  </si>
  <si>
    <t xml:space="preserve">   Líneas y servicios móviles</t>
  </si>
  <si>
    <t xml:space="preserve">VII</t>
  </si>
  <si>
    <t xml:space="preserve">Líder de Operaciones</t>
  </si>
  <si>
    <t xml:space="preserve">1.2.1.1</t>
  </si>
  <si>
    <t xml:space="preserve">      Servicio Gama A</t>
  </si>
  <si>
    <t xml:space="preserve">VII / VIII.8.2</t>
  </si>
  <si>
    <t xml:space="preserve">1.2.1.2</t>
  </si>
  <si>
    <t xml:space="preserve">      Servicio Gama B</t>
  </si>
  <si>
    <t xml:space="preserve">1.2.1.3</t>
  </si>
  <si>
    <t xml:space="preserve">      Servicio Gama C</t>
  </si>
  <si>
    <t xml:space="preserve">1.2.2</t>
  </si>
  <si>
    <t xml:space="preserve">   Plataforma de gestión y seguridad (MDM)</t>
  </si>
  <si>
    <t xml:space="preserve">VII.l</t>
  </si>
  <si>
    <t xml:space="preserve">Especialista MDM</t>
  </si>
  <si>
    <t xml:space="preserve">1.2.2.1</t>
  </si>
  <si>
    <t xml:space="preserve">      Consola de administración MDM</t>
  </si>
  <si>
    <t xml:space="preserve">1.2.2.2</t>
  </si>
  <si>
    <t xml:space="preserve">      Herramienta web de monitoreo de consumo</t>
  </si>
  <si>
    <t xml:space="preserve">VII.k</t>
  </si>
  <si>
    <t xml:space="preserve">1.2.3</t>
  </si>
  <si>
    <t xml:space="preserve">   Equipamiento y soporte técnico</t>
  </si>
  <si>
    <t xml:space="preserve">VIII.8.2</t>
  </si>
  <si>
    <t xml:space="preserve">Líder de Logística</t>
  </si>
  <si>
    <t xml:space="preserve">1.2.3.1</t>
  </si>
  <si>
    <t xml:space="preserve">      Provisión de equipos móviles</t>
  </si>
  <si>
    <t xml:space="preserve">VIII.8.2.b</t>
  </si>
  <si>
    <t xml:space="preserve">1.2.3.2</t>
  </si>
  <si>
    <t xml:space="preserve">      Garantía y reposición de equipos</t>
  </si>
  <si>
    <t xml:space="preserve">VIII.8.2.e</t>
  </si>
  <si>
    <t xml:space="preserve">Soporte Técnico</t>
  </si>
  <si>
    <t xml:space="preserve">1.2.3.3</t>
  </si>
  <si>
    <t xml:space="preserve">      Optimización de cobertura indoor</t>
  </si>
  <si>
    <t xml:space="preserve">VIII.8.3.g</t>
  </si>
  <si>
    <t xml:space="preserve">• Cuenta de control = identificador jerárquico (1, 1.1, 1.1.1). • Paquete de trabajo = última descomposición del entregable; nivel donde se estiman tiempo, costo y responsable.</t>
  </si>
  <si>
    <t xml:space="preserve">• Regla del 100%: los hijos suman exactamente el padre; el EDT contiene TODO el trabajo del alcance y solo ese trabajo. • El EDT reúne solo ENTREGABLES, nunca actividades ni características del producto.</t>
  </si>
  <si>
    <t xml:space="preserve">• Amarillo = estimaciones editables (paquetes de trabajo). Los niveles superiores se calculan por fórmula. Cifras referenciales; reemplácelas con datos reales.</t>
  </si>
  <si>
    <t xml:space="preserve">DICCIONARIO DE LA EDT (documento complementario)</t>
  </si>
  <si>
    <t xml:space="preserve">Rama</t>
  </si>
  <si>
    <t xml:space="preserve">Descripción del alcance (qué se entrega)</t>
  </si>
  <si>
    <t xml:space="preserve">Plan del proyecto</t>
  </si>
  <si>
    <t xml:space="preserve">Gestión</t>
  </si>
  <si>
    <t xml:space="preserve">Documento de planificación: alcance, cronograma y recursos para la implementación (activación ≤14 días).</t>
  </si>
  <si>
    <t xml:space="preserve">Acta de inicio del servicio</t>
  </si>
  <si>
    <t xml:space="preserve">Acta de culminación de implementación e inicio del servicio, firmada con la OTIC-SUNAFIL.</t>
  </si>
  <si>
    <t xml:space="preserve">Portabilidad numérica</t>
  </si>
  <si>
    <t xml:space="preserve">Gestión del trámite de portabilidad de las líneas hacia el nuevo operador.</t>
  </si>
  <si>
    <t xml:space="preserve">Transferencia de conocimiento y capacitación</t>
  </si>
  <si>
    <t xml:space="preserve">Capacitación al personal de SUNAFIL y entrega de manuales de administración.</t>
  </si>
  <si>
    <t xml:space="preserve">Entregables mensuales de servicio</t>
  </si>
  <si>
    <t xml:space="preserve">Informes mensuales de consumo, incidencias y operación del servicio.</t>
  </si>
  <si>
    <t xml:space="preserve">Acta de conformidad y pagos</t>
  </si>
  <si>
    <t xml:space="preserve">Conformidad del servicio otorgada por la OTIC y esquema de pagos mensuales.</t>
  </si>
  <si>
    <t xml:space="preserve">Informe final de cierre</t>
  </si>
  <si>
    <t xml:space="preserve">Informe de cierre del proyecto y gestión de penalidades, de corresponder.</t>
  </si>
  <si>
    <t xml:space="preserve">Servicio Gama A</t>
  </si>
  <si>
    <t xml:space="preserve">Producto</t>
  </si>
  <si>
    <t xml:space="preserve">Líneas y equipos de gama alta con su plan de voz, datos y mensajería.</t>
  </si>
  <si>
    <t xml:space="preserve">Servicio Gama B</t>
  </si>
  <si>
    <t xml:space="preserve">Líneas y equipos de gama media con su plan de voz, datos y mensajería.</t>
  </si>
  <si>
    <t xml:space="preserve">Servicio Gama C</t>
  </si>
  <si>
    <t xml:space="preserve">Líneas y equipos de gama básica con su plan de voz, datos y mensajería.</t>
  </si>
  <si>
    <t xml:space="preserve">Consola de administración MDM</t>
  </si>
  <si>
    <t xml:space="preserve">Plataforma en la nube de administración y seguridad de dispositivos móviles.</t>
  </si>
  <si>
    <t xml:space="preserve">Herramienta web de monitoreo</t>
  </si>
  <si>
    <t xml:space="preserve">Portal web para verificar consumo de minutos, datos y detalle de llamadas.</t>
  </si>
  <si>
    <t xml:space="preserve">Provisión de equipos móviles</t>
  </si>
  <si>
    <t xml:space="preserve">Entrega de los equipos móviles nuevos por gama, en calidad de alquiler.</t>
  </si>
  <si>
    <t xml:space="preserve">Garantía y reposición de equipos</t>
  </si>
  <si>
    <t xml:space="preserve">Procedimiento de garantía, reposición por robo/pérdida y atención de averías.</t>
  </si>
  <si>
    <t xml:space="preserve">Optimización de cobertura indoor</t>
  </si>
  <si>
    <t xml:space="preserve">Mejora de señal en las dependencias de SUNAFIL que lo requieran.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</si>
</sst>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2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D6E4F0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8.75" hidden="false" customHeight="true" outlineLevel="0" collapsed="false">
      <c r="A4" s="4" t="s">
        <v>10</v>
      </c>
      <c r="B4" s="4" t="n">
        <v>1</v>
      </c>
      <c r="C4" s="5" t="s">
        <v>11</v>
      </c>
      <c r="D4" s="4" t="s">
        <v>12</v>
      </c>
      <c r="E4" s="4" t="s">
        <v>13</v>
      </c>
      <c r="F4" s="6" t="s">
        <v>14</v>
      </c>
      <c r="G4" s="4" t="n">
        <v>731</v>
      </c>
      <c r="H4" s="7" t="n">
        <f aca="false">H5+H16</f>
        <v>595500</v>
      </c>
    </row>
    <row r="5" customFormat="false" ht="18.75" hidden="false" customHeight="true" outlineLevel="0" collapsed="false">
      <c r="A5" s="8" t="s">
        <v>15</v>
      </c>
      <c r="B5" s="8" t="n">
        <v>2</v>
      </c>
      <c r="C5" s="9" t="s">
        <v>16</v>
      </c>
      <c r="D5" s="8" t="s">
        <v>17</v>
      </c>
      <c r="E5" s="8" t="s">
        <v>13</v>
      </c>
      <c r="F5" s="10" t="s">
        <v>18</v>
      </c>
      <c r="G5" s="8" t="n">
        <f aca="false">SUM(G6:G13)</f>
        <v>122</v>
      </c>
      <c r="H5" s="11" t="n">
        <f aca="false">SUM(H6:H13)</f>
        <v>71500</v>
      </c>
    </row>
    <row r="6" customFormat="false" ht="18.75" hidden="false" customHeight="true" outlineLevel="0" collapsed="false">
      <c r="A6" s="12" t="s">
        <v>19</v>
      </c>
      <c r="B6" s="12" t="n">
        <v>3</v>
      </c>
      <c r="C6" s="13" t="s">
        <v>20</v>
      </c>
      <c r="D6" s="12" t="s">
        <v>21</v>
      </c>
      <c r="E6" s="12" t="s">
        <v>13</v>
      </c>
      <c r="F6" s="14" t="s">
        <v>18</v>
      </c>
      <c r="G6" s="12" t="n">
        <f aca="false">SUM(G7:G9)</f>
        <v>22</v>
      </c>
      <c r="H6" s="15" t="n">
        <f aca="false">SUM(H7:H9)</f>
        <v>12500</v>
      </c>
    </row>
    <row r="7" customFormat="false" ht="15.75" hidden="false" customHeight="true" outlineLevel="0" collapsed="false">
      <c r="A7" s="16" t="s">
        <v>22</v>
      </c>
      <c r="B7" s="16" t="n">
        <v>4</v>
      </c>
      <c r="C7" s="17" t="s">
        <v>23</v>
      </c>
      <c r="D7" s="16" t="s">
        <v>24</v>
      </c>
      <c r="E7" s="16" t="s">
        <v>25</v>
      </c>
      <c r="F7" s="18" t="s">
        <v>18</v>
      </c>
      <c r="G7" s="19" t="n">
        <v>5</v>
      </c>
      <c r="H7" s="20" t="n">
        <v>4000</v>
      </c>
    </row>
    <row r="8" customFormat="false" ht="15.75" hidden="false" customHeight="true" outlineLevel="0" collapsed="false">
      <c r="A8" s="16" t="s">
        <v>26</v>
      </c>
      <c r="B8" s="16" t="n">
        <v>4</v>
      </c>
      <c r="C8" s="17" t="s">
        <v>27</v>
      </c>
      <c r="D8" s="16" t="s">
        <v>24</v>
      </c>
      <c r="E8" s="16" t="s">
        <v>28</v>
      </c>
      <c r="F8" s="18" t="s">
        <v>18</v>
      </c>
      <c r="G8" s="19" t="n">
        <v>3</v>
      </c>
      <c r="H8" s="20" t="n">
        <v>2500</v>
      </c>
    </row>
    <row r="9" customFormat="false" ht="15.75" hidden="false" customHeight="true" outlineLevel="0" collapsed="false">
      <c r="A9" s="16" t="s">
        <v>29</v>
      </c>
      <c r="B9" s="16" t="n">
        <v>4</v>
      </c>
      <c r="C9" s="17" t="s">
        <v>30</v>
      </c>
      <c r="D9" s="16" t="s">
        <v>24</v>
      </c>
      <c r="E9" s="16" t="s">
        <v>31</v>
      </c>
      <c r="F9" s="18" t="s">
        <v>32</v>
      </c>
      <c r="G9" s="19" t="n">
        <v>14</v>
      </c>
      <c r="H9" s="20" t="n">
        <v>6000</v>
      </c>
    </row>
    <row r="10" customFormat="false" ht="18.75" hidden="false" customHeight="true" outlineLevel="0" collapsed="false">
      <c r="A10" s="12" t="s">
        <v>33</v>
      </c>
      <c r="B10" s="12" t="n">
        <v>3</v>
      </c>
      <c r="C10" s="13" t="s">
        <v>34</v>
      </c>
      <c r="D10" s="12" t="s">
        <v>21</v>
      </c>
      <c r="E10" s="12" t="s">
        <v>13</v>
      </c>
      <c r="F10" s="14" t="s">
        <v>32</v>
      </c>
      <c r="G10" s="12" t="n">
        <f aca="false">SUM(G11:G12)</f>
        <v>34</v>
      </c>
      <c r="H10" s="15" t="n">
        <f aca="false">SUM(H11:H12)</f>
        <v>20000</v>
      </c>
    </row>
    <row r="11" customFormat="false" ht="15.75" hidden="false" customHeight="true" outlineLevel="0" collapsed="false">
      <c r="A11" s="16" t="s">
        <v>35</v>
      </c>
      <c r="B11" s="16" t="n">
        <v>4</v>
      </c>
      <c r="C11" s="17" t="s">
        <v>36</v>
      </c>
      <c r="D11" s="16" t="s">
        <v>24</v>
      </c>
      <c r="E11" s="16" t="s">
        <v>37</v>
      </c>
      <c r="F11" s="18" t="s">
        <v>32</v>
      </c>
      <c r="G11" s="19" t="n">
        <v>10</v>
      </c>
      <c r="H11" s="20" t="n">
        <v>8000</v>
      </c>
    </row>
    <row r="12" customFormat="false" ht="15.75" hidden="false" customHeight="true" outlineLevel="0" collapsed="false">
      <c r="A12" s="16" t="s">
        <v>38</v>
      </c>
      <c r="B12" s="16" t="n">
        <v>4</v>
      </c>
      <c r="C12" s="17" t="s">
        <v>39</v>
      </c>
      <c r="D12" s="16" t="s">
        <v>24</v>
      </c>
      <c r="E12" s="16" t="s">
        <v>40</v>
      </c>
      <c r="F12" s="18" t="s">
        <v>32</v>
      </c>
      <c r="G12" s="19" t="n">
        <v>24</v>
      </c>
      <c r="H12" s="20" t="n">
        <v>12000</v>
      </c>
    </row>
    <row r="13" customFormat="false" ht="18.75" hidden="false" customHeight="true" outlineLevel="0" collapsed="false">
      <c r="A13" s="12" t="s">
        <v>41</v>
      </c>
      <c r="B13" s="12" t="n">
        <v>3</v>
      </c>
      <c r="C13" s="13" t="s">
        <v>42</v>
      </c>
      <c r="D13" s="12" t="s">
        <v>21</v>
      </c>
      <c r="E13" s="12" t="s">
        <v>13</v>
      </c>
      <c r="F13" s="14" t="s">
        <v>43</v>
      </c>
      <c r="G13" s="12" t="n">
        <f aca="false">SUM(G14:G15)</f>
        <v>10</v>
      </c>
      <c r="H13" s="15" t="n">
        <f aca="false">SUM(H14:H15)</f>
        <v>6500</v>
      </c>
    </row>
    <row r="14" customFormat="false" ht="15.75" hidden="false" customHeight="true" outlineLevel="0" collapsed="false">
      <c r="A14" s="16" t="s">
        <v>44</v>
      </c>
      <c r="B14" s="16" t="n">
        <v>4</v>
      </c>
      <c r="C14" s="17" t="s">
        <v>45</v>
      </c>
      <c r="D14" s="16" t="s">
        <v>24</v>
      </c>
      <c r="E14" s="16" t="s">
        <v>46</v>
      </c>
      <c r="F14" s="18" t="s">
        <v>43</v>
      </c>
      <c r="G14" s="19" t="n">
        <v>5</v>
      </c>
      <c r="H14" s="20" t="n">
        <v>3000</v>
      </c>
    </row>
    <row r="15" customFormat="false" ht="15.75" hidden="false" customHeight="true" outlineLevel="0" collapsed="false">
      <c r="A15" s="16" t="s">
        <v>47</v>
      </c>
      <c r="B15" s="16" t="n">
        <v>4</v>
      </c>
      <c r="C15" s="17" t="s">
        <v>48</v>
      </c>
      <c r="D15" s="16" t="s">
        <v>24</v>
      </c>
      <c r="E15" s="16" t="s">
        <v>49</v>
      </c>
      <c r="F15" s="18" t="s">
        <v>18</v>
      </c>
      <c r="G15" s="19" t="n">
        <v>5</v>
      </c>
      <c r="H15" s="20" t="n">
        <v>3500</v>
      </c>
    </row>
    <row r="16" customFormat="false" ht="18.75" hidden="false" customHeight="true" outlineLevel="0" collapsed="false">
      <c r="A16" s="21" t="s">
        <v>50</v>
      </c>
      <c r="B16" s="21" t="n">
        <v>2</v>
      </c>
      <c r="C16" s="22" t="s">
        <v>51</v>
      </c>
      <c r="D16" s="21" t="s">
        <v>17</v>
      </c>
      <c r="E16" s="21" t="s">
        <v>13</v>
      </c>
      <c r="F16" s="23" t="s">
        <v>52</v>
      </c>
      <c r="G16" s="21" t="n">
        <f aca="false">SUM(G17:G24)</f>
        <v>243</v>
      </c>
      <c r="H16" s="24" t="n">
        <f aca="false">SUM(H17:H24)</f>
        <v>524000</v>
      </c>
    </row>
    <row r="17" customFormat="false" ht="18.75" hidden="false" customHeight="true" outlineLevel="0" collapsed="false">
      <c r="A17" s="25" t="s">
        <v>53</v>
      </c>
      <c r="B17" s="25" t="n">
        <v>3</v>
      </c>
      <c r="C17" s="26" t="s">
        <v>54</v>
      </c>
      <c r="D17" s="25" t="s">
        <v>21</v>
      </c>
      <c r="E17" s="25" t="s">
        <v>55</v>
      </c>
      <c r="F17" s="27" t="s">
        <v>56</v>
      </c>
      <c r="G17" s="25" t="n">
        <f aca="false">SUM(G18:G20)</f>
        <v>42</v>
      </c>
      <c r="H17" s="28" t="n">
        <f aca="false">SUM(H18:H20)</f>
        <v>150000</v>
      </c>
    </row>
    <row r="18" customFormat="false" ht="15.75" hidden="false" customHeight="true" outlineLevel="0" collapsed="false">
      <c r="A18" s="16" t="s">
        <v>57</v>
      </c>
      <c r="B18" s="16" t="n">
        <v>4</v>
      </c>
      <c r="C18" s="17" t="s">
        <v>58</v>
      </c>
      <c r="D18" s="16" t="s">
        <v>24</v>
      </c>
      <c r="E18" s="16" t="s">
        <v>59</v>
      </c>
      <c r="F18" s="18" t="s">
        <v>56</v>
      </c>
      <c r="G18" s="19" t="n">
        <v>14</v>
      </c>
      <c r="H18" s="20" t="n">
        <v>40000</v>
      </c>
    </row>
    <row r="19" customFormat="false" ht="15.75" hidden="false" customHeight="true" outlineLevel="0" collapsed="false">
      <c r="A19" s="16" t="s">
        <v>60</v>
      </c>
      <c r="B19" s="16" t="n">
        <v>4</v>
      </c>
      <c r="C19" s="17" t="s">
        <v>61</v>
      </c>
      <c r="D19" s="16" t="s">
        <v>24</v>
      </c>
      <c r="E19" s="16" t="s">
        <v>59</v>
      </c>
      <c r="F19" s="18" t="s">
        <v>56</v>
      </c>
      <c r="G19" s="19" t="n">
        <v>14</v>
      </c>
      <c r="H19" s="20" t="n">
        <v>60000</v>
      </c>
    </row>
    <row r="20" customFormat="false" ht="15.75" hidden="false" customHeight="true" outlineLevel="0" collapsed="false">
      <c r="A20" s="16" t="s">
        <v>62</v>
      </c>
      <c r="B20" s="16" t="n">
        <v>4</v>
      </c>
      <c r="C20" s="17" t="s">
        <v>63</v>
      </c>
      <c r="D20" s="16" t="s">
        <v>24</v>
      </c>
      <c r="E20" s="16" t="s">
        <v>59</v>
      </c>
      <c r="F20" s="18" t="s">
        <v>56</v>
      </c>
      <c r="G20" s="19" t="n">
        <v>14</v>
      </c>
      <c r="H20" s="20" t="n">
        <v>50000</v>
      </c>
    </row>
    <row r="21" customFormat="false" ht="18.75" hidden="false" customHeight="true" outlineLevel="0" collapsed="false">
      <c r="A21" s="25" t="s">
        <v>64</v>
      </c>
      <c r="B21" s="25" t="n">
        <v>3</v>
      </c>
      <c r="C21" s="26" t="s">
        <v>65</v>
      </c>
      <c r="D21" s="25" t="s">
        <v>21</v>
      </c>
      <c r="E21" s="25" t="s">
        <v>66</v>
      </c>
      <c r="F21" s="27" t="s">
        <v>67</v>
      </c>
      <c r="G21" s="25" t="n">
        <f aca="false">SUM(G22:G23)</f>
        <v>35</v>
      </c>
      <c r="H21" s="28" t="n">
        <f aca="false">SUM(H22:H23)</f>
        <v>42000</v>
      </c>
    </row>
    <row r="22" customFormat="false" ht="15.75" hidden="false" customHeight="true" outlineLevel="0" collapsed="false">
      <c r="A22" s="16" t="s">
        <v>68</v>
      </c>
      <c r="B22" s="16" t="n">
        <v>4</v>
      </c>
      <c r="C22" s="17" t="s">
        <v>69</v>
      </c>
      <c r="D22" s="16" t="s">
        <v>24</v>
      </c>
      <c r="E22" s="16" t="s">
        <v>66</v>
      </c>
      <c r="F22" s="18" t="s">
        <v>67</v>
      </c>
      <c r="G22" s="19" t="n">
        <v>20</v>
      </c>
      <c r="H22" s="20" t="n">
        <v>30000</v>
      </c>
    </row>
    <row r="23" customFormat="false" ht="15.75" hidden="false" customHeight="true" outlineLevel="0" collapsed="false">
      <c r="A23" s="16" t="s">
        <v>70</v>
      </c>
      <c r="B23" s="16" t="n">
        <v>4</v>
      </c>
      <c r="C23" s="17" t="s">
        <v>71</v>
      </c>
      <c r="D23" s="16" t="s">
        <v>24</v>
      </c>
      <c r="E23" s="16" t="s">
        <v>72</v>
      </c>
      <c r="F23" s="18" t="s">
        <v>67</v>
      </c>
      <c r="G23" s="19" t="n">
        <v>15</v>
      </c>
      <c r="H23" s="20" t="n">
        <v>12000</v>
      </c>
    </row>
    <row r="24" customFormat="false" ht="18.75" hidden="false" customHeight="true" outlineLevel="0" collapsed="false">
      <c r="A24" s="25" t="s">
        <v>73</v>
      </c>
      <c r="B24" s="25" t="n">
        <v>3</v>
      </c>
      <c r="C24" s="26" t="s">
        <v>74</v>
      </c>
      <c r="D24" s="25" t="s">
        <v>21</v>
      </c>
      <c r="E24" s="25" t="s">
        <v>75</v>
      </c>
      <c r="F24" s="27" t="s">
        <v>76</v>
      </c>
      <c r="G24" s="25" t="n">
        <f aca="false">SUM(G25:G27)</f>
        <v>89</v>
      </c>
      <c r="H24" s="28" t="n">
        <f aca="false">SUM(H25:H27)</f>
        <v>140000</v>
      </c>
    </row>
    <row r="25" customFormat="false" ht="15.75" hidden="false" customHeight="true" outlineLevel="0" collapsed="false">
      <c r="A25" s="16" t="s">
        <v>77</v>
      </c>
      <c r="B25" s="16" t="n">
        <v>4</v>
      </c>
      <c r="C25" s="17" t="s">
        <v>78</v>
      </c>
      <c r="D25" s="16" t="s">
        <v>24</v>
      </c>
      <c r="E25" s="16" t="s">
        <v>79</v>
      </c>
      <c r="F25" s="18" t="s">
        <v>76</v>
      </c>
      <c r="G25" s="19" t="n">
        <v>14</v>
      </c>
      <c r="H25" s="20" t="n">
        <v>90000</v>
      </c>
    </row>
    <row r="26" customFormat="false" ht="15.75" hidden="false" customHeight="true" outlineLevel="0" collapsed="false">
      <c r="A26" s="16" t="s">
        <v>80</v>
      </c>
      <c r="B26" s="16" t="n">
        <v>4</v>
      </c>
      <c r="C26" s="17" t="s">
        <v>81</v>
      </c>
      <c r="D26" s="16" t="s">
        <v>24</v>
      </c>
      <c r="E26" s="16" t="s">
        <v>82</v>
      </c>
      <c r="F26" s="18" t="s">
        <v>83</v>
      </c>
      <c r="G26" s="19" t="n">
        <v>30</v>
      </c>
      <c r="H26" s="20" t="n">
        <v>15000</v>
      </c>
    </row>
    <row r="27" customFormat="false" ht="15.75" hidden="false" customHeight="true" outlineLevel="0" collapsed="false">
      <c r="A27" s="16" t="s">
        <v>84</v>
      </c>
      <c r="B27" s="16" t="n">
        <v>4</v>
      </c>
      <c r="C27" s="17" t="s">
        <v>85</v>
      </c>
      <c r="D27" s="16" t="s">
        <v>24</v>
      </c>
      <c r="E27" s="16" t="s">
        <v>86</v>
      </c>
      <c r="F27" s="18" t="s">
        <v>83</v>
      </c>
      <c r="G27" s="19" t="n">
        <v>45</v>
      </c>
      <c r="H27" s="20" t="n">
        <v>35000</v>
      </c>
    </row>
    <row r="29" customFormat="false" ht="24" hidden="false" customHeight="true" outlineLevel="0" collapsed="false">
      <c r="A29" s="29" t="s">
        <v>87</v>
      </c>
      <c r="B29" s="29"/>
      <c r="C29" s="29"/>
      <c r="D29" s="29"/>
      <c r="E29" s="29"/>
      <c r="F29" s="29"/>
      <c r="G29" s="29"/>
      <c r="H29" s="29"/>
    </row>
    <row r="30" customFormat="false" ht="24" hidden="false" customHeight="true" outlineLevel="0" collapsed="false">
      <c r="A30" s="29" t="s">
        <v>88</v>
      </c>
      <c r="B30" s="29"/>
      <c r="C30" s="29"/>
      <c r="D30" s="29"/>
      <c r="E30" s="29"/>
      <c r="F30" s="29"/>
      <c r="G30" s="29"/>
      <c r="H30" s="29"/>
    </row>
    <row r="31" customFormat="false" ht="24" hidden="false" customHeight="true" outlineLevel="0" collapsed="false">
      <c r="A31" s="29" t="s">
        <v>89</v>
      </c>
      <c r="B31" s="29"/>
      <c r="C31" s="29"/>
      <c r="D31" s="29"/>
      <c r="E31" s="29"/>
      <c r="F31" s="29"/>
      <c r="G31" s="29"/>
      <c r="H31" s="29"/>
    </row>
  </sheetData>
  <mergeCells count="5">
    <mergeCell ref="A1:H1"/>
    <mergeCell ref="A2:H2"/>
    <mergeCell ref="A29:H29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58"/>
  </cols>
  <sheetData>
    <row r="1" customFormat="false" ht="24" hidden="false" customHeight="true" outlineLevel="0" collapsed="false">
      <c r="A1" s="30" t="s">
        <v>90</v>
      </c>
      <c r="B1" s="30"/>
      <c r="C1" s="30"/>
      <c r="D1" s="30"/>
      <c r="E1" s="30"/>
      <c r="F1" s="30"/>
    </row>
    <row r="2" customFormat="false" ht="24" hidden="false" customHeight="true" outlineLevel="0" collapsed="false">
      <c r="A2" s="3" t="s">
        <v>2</v>
      </c>
      <c r="B2" s="3" t="s">
        <v>24</v>
      </c>
      <c r="C2" s="3" t="s">
        <v>91</v>
      </c>
      <c r="D2" s="3" t="s">
        <v>6</v>
      </c>
      <c r="E2" s="3" t="s">
        <v>7</v>
      </c>
      <c r="F2" s="3" t="s">
        <v>92</v>
      </c>
    </row>
    <row r="3" customFormat="false" ht="22.35" hidden="false" customHeight="false" outlineLevel="0" collapsed="false">
      <c r="A3" s="31" t="s">
        <v>22</v>
      </c>
      <c r="B3" s="32" t="s">
        <v>93</v>
      </c>
      <c r="C3" s="33" t="s">
        <v>94</v>
      </c>
      <c r="D3" s="31" t="s">
        <v>25</v>
      </c>
      <c r="E3" s="31" t="s">
        <v>18</v>
      </c>
      <c r="F3" s="32" t="s">
        <v>95</v>
      </c>
    </row>
    <row r="4" customFormat="false" ht="22.35" hidden="false" customHeight="false" outlineLevel="0" collapsed="false">
      <c r="A4" s="31" t="s">
        <v>26</v>
      </c>
      <c r="B4" s="32" t="s">
        <v>96</v>
      </c>
      <c r="C4" s="33" t="s">
        <v>94</v>
      </c>
      <c r="D4" s="31" t="s">
        <v>28</v>
      </c>
      <c r="E4" s="31" t="s">
        <v>18</v>
      </c>
      <c r="F4" s="32" t="s">
        <v>97</v>
      </c>
    </row>
    <row r="5" customFormat="false" ht="15" hidden="false" customHeight="false" outlineLevel="0" collapsed="false">
      <c r="A5" s="31" t="s">
        <v>29</v>
      </c>
      <c r="B5" s="32" t="s">
        <v>98</v>
      </c>
      <c r="C5" s="33" t="s">
        <v>94</v>
      </c>
      <c r="D5" s="31" t="s">
        <v>31</v>
      </c>
      <c r="E5" s="31" t="s">
        <v>32</v>
      </c>
      <c r="F5" s="32" t="s">
        <v>99</v>
      </c>
    </row>
    <row r="6" customFormat="false" ht="22.35" hidden="false" customHeight="false" outlineLevel="0" collapsed="false">
      <c r="A6" s="31" t="s">
        <v>35</v>
      </c>
      <c r="B6" s="32" t="s">
        <v>100</v>
      </c>
      <c r="C6" s="33" t="s">
        <v>94</v>
      </c>
      <c r="D6" s="31" t="s">
        <v>37</v>
      </c>
      <c r="E6" s="31" t="s">
        <v>32</v>
      </c>
      <c r="F6" s="32" t="s">
        <v>101</v>
      </c>
    </row>
    <row r="7" customFormat="false" ht="15" hidden="false" customHeight="false" outlineLevel="0" collapsed="false">
      <c r="A7" s="31" t="s">
        <v>38</v>
      </c>
      <c r="B7" s="32" t="s">
        <v>102</v>
      </c>
      <c r="C7" s="33" t="s">
        <v>94</v>
      </c>
      <c r="D7" s="31" t="s">
        <v>40</v>
      </c>
      <c r="E7" s="31" t="s">
        <v>32</v>
      </c>
      <c r="F7" s="32" t="s">
        <v>103</v>
      </c>
    </row>
    <row r="8" customFormat="false" ht="22.35" hidden="false" customHeight="false" outlineLevel="0" collapsed="false">
      <c r="A8" s="31" t="s">
        <v>44</v>
      </c>
      <c r="B8" s="32" t="s">
        <v>104</v>
      </c>
      <c r="C8" s="33" t="s">
        <v>94</v>
      </c>
      <c r="D8" s="31" t="s">
        <v>46</v>
      </c>
      <c r="E8" s="31" t="s">
        <v>43</v>
      </c>
      <c r="F8" s="32" t="s">
        <v>105</v>
      </c>
    </row>
    <row r="9" customFormat="false" ht="15" hidden="false" customHeight="false" outlineLevel="0" collapsed="false">
      <c r="A9" s="31" t="s">
        <v>47</v>
      </c>
      <c r="B9" s="32" t="s">
        <v>106</v>
      </c>
      <c r="C9" s="33" t="s">
        <v>94</v>
      </c>
      <c r="D9" s="31" t="s">
        <v>49</v>
      </c>
      <c r="E9" s="31" t="s">
        <v>18</v>
      </c>
      <c r="F9" s="32" t="s">
        <v>107</v>
      </c>
    </row>
    <row r="10" customFormat="false" ht="15" hidden="false" customHeight="false" outlineLevel="0" collapsed="false">
      <c r="A10" s="31" t="s">
        <v>57</v>
      </c>
      <c r="B10" s="32" t="s">
        <v>108</v>
      </c>
      <c r="C10" s="34" t="s">
        <v>109</v>
      </c>
      <c r="D10" s="31" t="s">
        <v>59</v>
      </c>
      <c r="E10" s="31" t="s">
        <v>56</v>
      </c>
      <c r="F10" s="32" t="s">
        <v>110</v>
      </c>
    </row>
    <row r="11" customFormat="false" ht="15" hidden="false" customHeight="false" outlineLevel="0" collapsed="false">
      <c r="A11" s="31" t="s">
        <v>60</v>
      </c>
      <c r="B11" s="32" t="s">
        <v>111</v>
      </c>
      <c r="C11" s="34" t="s">
        <v>109</v>
      </c>
      <c r="D11" s="31" t="s">
        <v>59</v>
      </c>
      <c r="E11" s="31" t="s">
        <v>56</v>
      </c>
      <c r="F11" s="32" t="s">
        <v>112</v>
      </c>
    </row>
    <row r="12" customFormat="false" ht="15" hidden="false" customHeight="false" outlineLevel="0" collapsed="false">
      <c r="A12" s="31" t="s">
        <v>62</v>
      </c>
      <c r="B12" s="32" t="s">
        <v>113</v>
      </c>
      <c r="C12" s="34" t="s">
        <v>109</v>
      </c>
      <c r="D12" s="31" t="s">
        <v>59</v>
      </c>
      <c r="E12" s="31" t="s">
        <v>56</v>
      </c>
      <c r="F12" s="32" t="s">
        <v>114</v>
      </c>
    </row>
    <row r="13" customFormat="false" ht="15" hidden="false" customHeight="false" outlineLevel="0" collapsed="false">
      <c r="A13" s="31" t="s">
        <v>68</v>
      </c>
      <c r="B13" s="32" t="s">
        <v>115</v>
      </c>
      <c r="C13" s="34" t="s">
        <v>109</v>
      </c>
      <c r="D13" s="31" t="s">
        <v>66</v>
      </c>
      <c r="E13" s="31" t="s">
        <v>67</v>
      </c>
      <c r="F13" s="32" t="s">
        <v>116</v>
      </c>
    </row>
    <row r="14" customFormat="false" ht="15" hidden="false" customHeight="false" outlineLevel="0" collapsed="false">
      <c r="A14" s="31" t="s">
        <v>70</v>
      </c>
      <c r="B14" s="32" t="s">
        <v>117</v>
      </c>
      <c r="C14" s="34" t="s">
        <v>109</v>
      </c>
      <c r="D14" s="31" t="s">
        <v>72</v>
      </c>
      <c r="E14" s="31" t="s">
        <v>67</v>
      </c>
      <c r="F14" s="32" t="s">
        <v>118</v>
      </c>
    </row>
    <row r="15" customFormat="false" ht="15" hidden="false" customHeight="false" outlineLevel="0" collapsed="false">
      <c r="A15" s="31" t="s">
        <v>77</v>
      </c>
      <c r="B15" s="32" t="s">
        <v>119</v>
      </c>
      <c r="C15" s="34" t="s">
        <v>109</v>
      </c>
      <c r="D15" s="31" t="s">
        <v>79</v>
      </c>
      <c r="E15" s="31" t="s">
        <v>76</v>
      </c>
      <c r="F15" s="32" t="s">
        <v>120</v>
      </c>
    </row>
    <row r="16" customFormat="false" ht="22.35" hidden="false" customHeight="false" outlineLevel="0" collapsed="false">
      <c r="A16" s="31" t="s">
        <v>80</v>
      </c>
      <c r="B16" s="32" t="s">
        <v>121</v>
      </c>
      <c r="C16" s="34" t="s">
        <v>109</v>
      </c>
      <c r="D16" s="31" t="s">
        <v>82</v>
      </c>
      <c r="E16" s="31" t="s">
        <v>83</v>
      </c>
      <c r="F16" s="32" t="s">
        <v>122</v>
      </c>
    </row>
    <row r="17" customFormat="false" ht="15" hidden="false" customHeight="false" outlineLevel="0" collapsed="false">
      <c r="A17" s="31" t="s">
        <v>84</v>
      </c>
      <c r="B17" s="32" t="s">
        <v>123</v>
      </c>
      <c r="C17" s="34" t="s">
        <v>109</v>
      </c>
      <c r="D17" s="31" t="s">
        <v>86</v>
      </c>
      <c r="E17" s="31" t="s">
        <v>83</v>
      </c>
      <c r="F17" s="32" t="s">
        <v>124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2026-09-23T02:50:28Z</dcterms:created>
  <dc:creator>openpyxl</dc:creator>
  <dc:description/>
  <dc:language>en-US</dc:language>
  <cp:lastModifiedBy/>
  <dcterms:modified xsi:type="dcterms:W3CDTF">2026-09-23T02:50:28Z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